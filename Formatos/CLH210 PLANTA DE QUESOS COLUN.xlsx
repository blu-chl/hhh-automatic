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njaminlaraurra/Downloads/"/>
    </mc:Choice>
  </mc:AlternateContent>
  <xr:revisionPtr revIDLastSave="0" documentId="13_ncr:1_{8B7BCF1F-D054-6043-9D85-D02DF7840B45}" xr6:coauthVersionLast="47" xr6:coauthVersionMax="47" xr10:uidLastSave="{00000000-0000-0000-0000-000000000000}"/>
  <bookViews>
    <workbookView xWindow="0" yWindow="600" windowWidth="29400" windowHeight="19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</calcChain>
</file>

<file path=xl/sharedStrings.xml><?xml version="1.0" encoding="utf-8"?>
<sst xmlns="http://schemas.openxmlformats.org/spreadsheetml/2006/main" count="96" uniqueCount="49">
  <si>
    <t>Tipo Docto.</t>
  </si>
  <si>
    <t>Fecha Docto</t>
  </si>
  <si>
    <t>Nº Docto.</t>
  </si>
  <si>
    <t>Valor</t>
  </si>
  <si>
    <t>ID CENTRO COSTO</t>
  </si>
  <si>
    <t>CENTRO COSTO</t>
  </si>
  <si>
    <t>ID TIPO GASTO</t>
  </si>
  <si>
    <t>TIPO GASTO</t>
  </si>
  <si>
    <t xml:space="preserve">    </t>
  </si>
  <si>
    <t>ID</t>
  </si>
  <si>
    <t>TIPO DE GASTO</t>
  </si>
  <si>
    <t>1.04 AREA 280</t>
  </si>
  <si>
    <t>ACEITES Y LUBRICANTES</t>
  </si>
  <si>
    <t>8.2 TRASLADOS ENTRE BODEGAS</t>
  </si>
  <si>
    <t>ALIMENTACIÓN</t>
  </si>
  <si>
    <t>10. GASTOS GENERALES DIRECTOS</t>
  </si>
  <si>
    <t>COMBUSTIBLE</t>
  </si>
  <si>
    <t>07. GRUAS</t>
  </si>
  <si>
    <t>COMBUSTIBLE MAQUINARIAS</t>
  </si>
  <si>
    <t>05. PINTURA</t>
  </si>
  <si>
    <t>COSTOS FIJOS OFICINA</t>
  </si>
  <si>
    <t>1.07 AREA 700</t>
  </si>
  <si>
    <t>ESTACIONAMIENTOS</t>
  </si>
  <si>
    <t>1.03 AREA 270</t>
  </si>
  <si>
    <t>GASTOS DE OBRA</t>
  </si>
  <si>
    <t>1.09 AREA 800</t>
  </si>
  <si>
    <t>GASTOS DE OFICINA</t>
  </si>
  <si>
    <t>1.05 AREA 290</t>
  </si>
  <si>
    <t>GASTOS GENERALES</t>
  </si>
  <si>
    <t>03. INSUMOS (FABRICACIÓN Y MONTAJE)</t>
  </si>
  <si>
    <t>HOSPEDAJE</t>
  </si>
  <si>
    <t>1.10 AREA 400</t>
  </si>
  <si>
    <t>MANTENCIÓN DE MAQUINARIAS</t>
  </si>
  <si>
    <t>1.02 AREA 260</t>
  </si>
  <si>
    <t>MOVILIZACIÓN</t>
  </si>
  <si>
    <t>02. MANO DE OBRA MONTAJE</t>
  </si>
  <si>
    <t>NOTARÍA</t>
  </si>
  <si>
    <t>04. GASES Y SOLDADURAS</t>
  </si>
  <si>
    <t>PEAJES</t>
  </si>
  <si>
    <t>8.1 TRASLADOS A OBRA</t>
  </si>
  <si>
    <t>REPUESTOS</t>
  </si>
  <si>
    <t>1.08 AREA 720</t>
  </si>
  <si>
    <t>06. ELEVADORES</t>
  </si>
  <si>
    <t>1.11 ZONA DE SILOS</t>
  </si>
  <si>
    <t>09. INGENIERÍA DE DETALLE</t>
  </si>
  <si>
    <t>11. PENSIONES</t>
  </si>
  <si>
    <t>1.01 AREA 250</t>
  </si>
  <si>
    <t>1.06 AREA 200</t>
  </si>
  <si>
    <t>BOLETA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</si>
</sst>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1" max="1" width="15" customWidth="1"/>
    <col min="2" max="3" width="12" customWidth="1"/>
    <col min="4" max="5" width="15" customWidth="1"/>
    <col min="6" max="6" width="45" customWidth="1"/>
    <col min="7" max="7" width="15" customWidth="1"/>
    <col min="8" max="8" width="45" customWidth="1"/>
    <col min="10" max="10" width="7" bestFit="1" customWidth="1"/>
    <col min="11" max="11" width="42.5" bestFit="1" customWidth="1"/>
    <col min="12" max="12" width="5.83203125" bestFit="1" customWidth="1"/>
    <col min="13" max="13" width="7" bestFit="1" customWidth="1"/>
    <col min="14" max="14" width="30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5</v>
      </c>
      <c r="L1" s="1" t="s">
        <v>8</v>
      </c>
      <c r="M1" s="2" t="s">
        <v>9</v>
      </c>
      <c r="N1" s="2" t="s">
        <v>10</v>
      </c>
    </row>
    <row r="2" spans="1:14" x14ac:dyDescent="0.2">
      <c r="A2" t="s">
        <v>48</v>
      </c>
      <c r="B2" s="4">
        <v>46256</v>
      </c>
      <c r="C2">
        <v>733331</v>
      </c>
      <c r="D2">
        <v>17000</v>
      </c>
      <c r="E2">
        <v>25048</v>
      </c>
      <c r="F2" t="s">
        <v>15</v>
      </c>
      <c r="G2">
        <v>20040</v>
      </c>
      <c r="H2" t="s">
        <v>28</v>
      </c>
      <c r="J2" s="3">
        <v>25032</v>
      </c>
      <c r="K2" s="3" t="s">
        <v>11</v>
      </c>
      <c r="M2" s="3">
        <v>20047</v>
      </c>
      <c r="N2" s="3" t="s">
        <v>12</v>
      </c>
    </row>
    <row r="3" spans="1:14" x14ac:dyDescent="0.2">
      <c r="A3" t="s">
        <v>48</v>
      </c>
      <c r="B3" s="4">
        <v>46262</v>
      </c>
      <c r="C3">
        <v>967334</v>
      </c>
      <c r="D3">
        <v>20900</v>
      </c>
      <c r="E3">
        <v>25048</v>
      </c>
      <c r="F3" t="s">
        <v>15</v>
      </c>
      <c r="G3">
        <v>20040</v>
      </c>
      <c r="H3" t="s">
        <v>28</v>
      </c>
      <c r="J3" s="3">
        <v>25046</v>
      </c>
      <c r="K3" s="3" t="s">
        <v>13</v>
      </c>
      <c r="M3" s="3">
        <v>20060</v>
      </c>
      <c r="N3" s="3" t="s">
        <v>14</v>
      </c>
    </row>
    <row r="4" spans="1:14" x14ac:dyDescent="0.2">
      <c r="A4" t="s">
        <v>48</v>
      </c>
      <c r="B4" s="4">
        <v>46262</v>
      </c>
      <c r="C4">
        <v>676</v>
      </c>
      <c r="D4">
        <v>82170</v>
      </c>
      <c r="E4">
        <v>25048</v>
      </c>
      <c r="F4" t="s">
        <v>15</v>
      </c>
      <c r="G4">
        <v>20040</v>
      </c>
      <c r="H4" t="s">
        <v>28</v>
      </c>
      <c r="J4" s="3">
        <v>25048</v>
      </c>
      <c r="K4" s="3" t="s">
        <v>15</v>
      </c>
      <c r="M4" s="3">
        <v>20048</v>
      </c>
      <c r="N4" s="3" t="s">
        <v>16</v>
      </c>
    </row>
    <row r="5" spans="1:14" x14ac:dyDescent="0.2">
      <c r="A5" t="s">
        <v>48</v>
      </c>
      <c r="B5" s="4">
        <v>46262</v>
      </c>
      <c r="C5">
        <v>11902</v>
      </c>
      <c r="D5">
        <v>3300</v>
      </c>
      <c r="E5">
        <v>25048</v>
      </c>
      <c r="F5" t="s">
        <v>15</v>
      </c>
      <c r="G5">
        <v>20049</v>
      </c>
      <c r="H5" t="s">
        <v>40</v>
      </c>
      <c r="J5" s="3">
        <v>25043</v>
      </c>
      <c r="K5" s="3" t="s">
        <v>17</v>
      </c>
      <c r="M5" s="3">
        <v>20066</v>
      </c>
      <c r="N5" s="3" t="s">
        <v>18</v>
      </c>
    </row>
    <row r="6" spans="1:14" x14ac:dyDescent="0.2">
      <c r="A6" t="s">
        <v>48</v>
      </c>
      <c r="B6" s="4">
        <v>46203</v>
      </c>
      <c r="C6">
        <v>1</v>
      </c>
      <c r="D6">
        <v>3600</v>
      </c>
      <c r="E6">
        <v>25048</v>
      </c>
      <c r="F6" t="s">
        <v>15</v>
      </c>
      <c r="G6">
        <v>20050</v>
      </c>
      <c r="H6" t="s">
        <v>38</v>
      </c>
      <c r="J6" s="3">
        <v>25041</v>
      </c>
      <c r="K6" s="3" t="s">
        <v>19</v>
      </c>
      <c r="M6" s="3">
        <v>20058</v>
      </c>
      <c r="N6" s="3" t="s">
        <v>20</v>
      </c>
    </row>
    <row r="7" spans="1:14" x14ac:dyDescent="0.2">
      <c r="A7" t="s">
        <v>48</v>
      </c>
      <c r="B7" s="4">
        <v>46251</v>
      </c>
      <c r="C7">
        <v>3030</v>
      </c>
      <c r="D7">
        <v>17350</v>
      </c>
      <c r="E7">
        <v>25048</v>
      </c>
      <c r="F7" t="s">
        <v>15</v>
      </c>
      <c r="G7">
        <v>20060</v>
      </c>
      <c r="H7" t="s">
        <v>14</v>
      </c>
      <c r="J7" s="3">
        <v>25035</v>
      </c>
      <c r="K7" s="3" t="s">
        <v>21</v>
      </c>
      <c r="M7" s="3">
        <v>20062</v>
      </c>
      <c r="N7" s="3" t="s">
        <v>22</v>
      </c>
    </row>
    <row r="8" spans="1:14" x14ac:dyDescent="0.2">
      <c r="A8" t="s">
        <v>48</v>
      </c>
      <c r="B8" s="4">
        <v>46254</v>
      </c>
      <c r="C8">
        <v>56136</v>
      </c>
      <c r="D8">
        <v>40970</v>
      </c>
      <c r="E8">
        <v>25048</v>
      </c>
      <c r="F8" t="s">
        <v>15</v>
      </c>
      <c r="G8">
        <v>20060</v>
      </c>
      <c r="H8" t="s">
        <v>14</v>
      </c>
      <c r="J8" s="3">
        <v>25031</v>
      </c>
      <c r="K8" s="3" t="s">
        <v>23</v>
      </c>
      <c r="M8" s="3">
        <v>20065</v>
      </c>
      <c r="N8" s="3" t="s">
        <v>24</v>
      </c>
    </row>
    <row r="9" spans="1:14" x14ac:dyDescent="0.2">
      <c r="A9" t="s">
        <v>48</v>
      </c>
      <c r="B9" s="4">
        <v>46255</v>
      </c>
      <c r="C9">
        <v>2</v>
      </c>
      <c r="D9">
        <v>6490</v>
      </c>
      <c r="E9">
        <v>25048</v>
      </c>
      <c r="F9" t="s">
        <v>15</v>
      </c>
      <c r="G9">
        <v>20060</v>
      </c>
      <c r="H9" t="s">
        <v>14</v>
      </c>
      <c r="J9" s="3">
        <v>25037</v>
      </c>
      <c r="K9" s="3" t="s">
        <v>25</v>
      </c>
      <c r="M9" s="3">
        <v>20059</v>
      </c>
      <c r="N9" s="3" t="s">
        <v>26</v>
      </c>
    </row>
    <row r="10" spans="1:14" x14ac:dyDescent="0.2">
      <c r="A10" t="s">
        <v>48</v>
      </c>
      <c r="B10" s="4">
        <v>46256</v>
      </c>
      <c r="C10">
        <v>241748</v>
      </c>
      <c r="D10">
        <v>12616</v>
      </c>
      <c r="E10">
        <v>25048</v>
      </c>
      <c r="F10" t="s">
        <v>15</v>
      </c>
      <c r="G10">
        <v>20060</v>
      </c>
      <c r="H10" t="s">
        <v>14</v>
      </c>
      <c r="J10" s="3">
        <v>25033</v>
      </c>
      <c r="K10" s="3" t="s">
        <v>27</v>
      </c>
      <c r="M10" s="3">
        <v>20040</v>
      </c>
      <c r="N10" s="3" t="s">
        <v>28</v>
      </c>
    </row>
    <row r="11" spans="1:14" x14ac:dyDescent="0.2">
      <c r="A11" t="s">
        <v>48</v>
      </c>
      <c r="B11" s="4">
        <v>46261</v>
      </c>
      <c r="C11">
        <v>110537</v>
      </c>
      <c r="D11">
        <v>15290</v>
      </c>
      <c r="E11">
        <v>25048</v>
      </c>
      <c r="F11" t="s">
        <v>15</v>
      </c>
      <c r="G11">
        <v>20060</v>
      </c>
      <c r="H11" t="s">
        <v>14</v>
      </c>
      <c r="J11" s="3">
        <v>25039</v>
      </c>
      <c r="K11" s="3" t="s">
        <v>29</v>
      </c>
      <c r="M11" s="3">
        <v>20064</v>
      </c>
      <c r="N11" s="3" t="s">
        <v>30</v>
      </c>
    </row>
    <row r="12" spans="1:14" x14ac:dyDescent="0.2">
      <c r="A12" t="s">
        <v>48</v>
      </c>
      <c r="B12" s="4">
        <v>46263</v>
      </c>
      <c r="C12">
        <v>2467</v>
      </c>
      <c r="D12">
        <v>17270</v>
      </c>
      <c r="E12">
        <v>25048</v>
      </c>
      <c r="F12" t="s">
        <v>15</v>
      </c>
      <c r="G12">
        <v>20060</v>
      </c>
      <c r="H12" t="s">
        <v>14</v>
      </c>
      <c r="J12" s="3">
        <v>25098</v>
      </c>
      <c r="K12" s="3" t="s">
        <v>31</v>
      </c>
      <c r="M12" s="3">
        <v>20046</v>
      </c>
      <c r="N12" s="3" t="s">
        <v>32</v>
      </c>
    </row>
    <row r="13" spans="1:14" x14ac:dyDescent="0.2">
      <c r="A13" t="s">
        <v>48</v>
      </c>
      <c r="B13" s="4">
        <v>46266</v>
      </c>
      <c r="C13">
        <v>3</v>
      </c>
      <c r="D13">
        <v>13570</v>
      </c>
      <c r="E13">
        <v>25048</v>
      </c>
      <c r="F13" t="s">
        <v>15</v>
      </c>
      <c r="G13">
        <v>20060</v>
      </c>
      <c r="H13" t="s">
        <v>14</v>
      </c>
      <c r="J13" s="3">
        <v>25030</v>
      </c>
      <c r="K13" s="3" t="s">
        <v>33</v>
      </c>
      <c r="M13" s="3">
        <v>20061</v>
      </c>
      <c r="N13" s="3" t="s">
        <v>34</v>
      </c>
    </row>
    <row r="14" spans="1:14" x14ac:dyDescent="0.2">
      <c r="A14" t="s">
        <v>48</v>
      </c>
      <c r="B14" s="4">
        <v>46266</v>
      </c>
      <c r="C14">
        <v>815528</v>
      </c>
      <c r="D14">
        <v>12650</v>
      </c>
      <c r="E14">
        <v>25048</v>
      </c>
      <c r="F14" t="s">
        <v>15</v>
      </c>
      <c r="G14">
        <v>20060</v>
      </c>
      <c r="H14" t="s">
        <v>14</v>
      </c>
      <c r="J14" s="3">
        <v>25038</v>
      </c>
      <c r="K14" s="3" t="s">
        <v>35</v>
      </c>
      <c r="M14" s="3">
        <v>20063</v>
      </c>
      <c r="N14" s="3" t="s">
        <v>36</v>
      </c>
    </row>
    <row r="15" spans="1:14" x14ac:dyDescent="0.2">
      <c r="A15" t="s">
        <v>48</v>
      </c>
      <c r="B15" s="4">
        <v>46257</v>
      </c>
      <c r="C15">
        <v>4</v>
      </c>
      <c r="D15">
        <v>2590</v>
      </c>
      <c r="E15">
        <v>25048</v>
      </c>
      <c r="F15" t="s">
        <v>15</v>
      </c>
      <c r="G15">
        <v>20065</v>
      </c>
      <c r="H15" t="s">
        <v>24</v>
      </c>
      <c r="J15" s="3">
        <v>25040</v>
      </c>
      <c r="K15" s="3" t="s">
        <v>37</v>
      </c>
      <c r="M15" s="3">
        <v>20050</v>
      </c>
      <c r="N15" s="3" t="s">
        <v>38</v>
      </c>
    </row>
    <row r="16" spans="1:14" x14ac:dyDescent="0.2">
      <c r="A16" t="s">
        <v>48</v>
      </c>
      <c r="B16" s="4">
        <v>46263</v>
      </c>
      <c r="C16">
        <v>5</v>
      </c>
      <c r="D16">
        <v>15300</v>
      </c>
      <c r="E16">
        <v>25048</v>
      </c>
      <c r="F16" t="s">
        <v>15</v>
      </c>
      <c r="G16">
        <v>20065</v>
      </c>
      <c r="H16" t="s">
        <v>24</v>
      </c>
      <c r="J16" s="3">
        <v>25045</v>
      </c>
      <c r="K16" s="3" t="s">
        <v>39</v>
      </c>
      <c r="M16" s="3">
        <v>20049</v>
      </c>
      <c r="N16" s="3" t="s">
        <v>40</v>
      </c>
    </row>
    <row r="17" spans="6:11" x14ac:dyDescent="0.2">
      <c r="F17" t="str">
        <f t="shared" ref="F2:F33" si="0">IFERROR(VLOOKUP(E17,$J$1:$K$23,2,0),"")</f>
        <v/>
      </c>
      <c r="H17" t="str">
        <f t="shared" ref="H2:H33" si="1">IFERROR(VLOOKUP(G17,$M$1:$N$23,2,0),"")</f>
        <v/>
      </c>
      <c r="J17" s="3">
        <v>25036</v>
      </c>
      <c r="K17" s="3" t="s">
        <v>41</v>
      </c>
    </row>
    <row r="18" spans="6:11" x14ac:dyDescent="0.2">
      <c r="F18" t="str">
        <f t="shared" si="0"/>
        <v/>
      </c>
      <c r="H18" t="str">
        <f t="shared" si="1"/>
        <v/>
      </c>
      <c r="J18" s="3">
        <v>25042</v>
      </c>
      <c r="K18" s="3" t="s">
        <v>42</v>
      </c>
    </row>
    <row r="19" spans="6:11" x14ac:dyDescent="0.2">
      <c r="F19" t="str">
        <f t="shared" si="0"/>
        <v/>
      </c>
      <c r="H19" t="str">
        <f t="shared" si="1"/>
        <v/>
      </c>
      <c r="J19" s="3">
        <v>25121</v>
      </c>
      <c r="K19" s="3" t="s">
        <v>43</v>
      </c>
    </row>
    <row r="20" spans="6:11" x14ac:dyDescent="0.2">
      <c r="F20" t="str">
        <f t="shared" si="0"/>
        <v/>
      </c>
      <c r="H20" t="str">
        <f t="shared" si="1"/>
        <v/>
      </c>
      <c r="J20" s="3">
        <v>25047</v>
      </c>
      <c r="K20" s="3" t="s">
        <v>44</v>
      </c>
    </row>
    <row r="21" spans="6:11" x14ac:dyDescent="0.2">
      <c r="F21" t="str">
        <f t="shared" si="0"/>
        <v/>
      </c>
      <c r="H21" t="str">
        <f t="shared" si="1"/>
        <v/>
      </c>
      <c r="J21" s="3">
        <v>25049</v>
      </c>
      <c r="K21" s="3" t="s">
        <v>45</v>
      </c>
    </row>
    <row r="22" spans="6:11" x14ac:dyDescent="0.2">
      <c r="F22" t="str">
        <f t="shared" si="0"/>
        <v/>
      </c>
      <c r="H22" t="str">
        <f t="shared" si="1"/>
        <v/>
      </c>
      <c r="J22" s="3">
        <v>25029</v>
      </c>
      <c r="K22" s="3" t="s">
        <v>46</v>
      </c>
    </row>
    <row r="23" spans="6:11" x14ac:dyDescent="0.2">
      <c r="F23" t="str">
        <f t="shared" si="0"/>
        <v/>
      </c>
      <c r="H23" t="str">
        <f t="shared" si="1"/>
        <v/>
      </c>
      <c r="J23" s="3">
        <v>25034</v>
      </c>
      <c r="K23" s="3" t="s">
        <v>47</v>
      </c>
    </row>
    <row r="24" spans="6:11" x14ac:dyDescent="0.2">
      <c r="F24" t="str">
        <f t="shared" si="0"/>
        <v/>
      </c>
      <c r="H24" t="str">
        <f t="shared" si="1"/>
        <v/>
      </c>
    </row>
    <row r="25" spans="6:11" x14ac:dyDescent="0.2">
      <c r="F25" t="str">
        <f t="shared" si="0"/>
        <v/>
      </c>
      <c r="H25" t="str">
        <f t="shared" si="1"/>
        <v/>
      </c>
    </row>
    <row r="26" spans="6:11" x14ac:dyDescent="0.2">
      <c r="F26" t="str">
        <f t="shared" si="0"/>
        <v/>
      </c>
      <c r="H26" t="str">
        <f t="shared" si="1"/>
        <v/>
      </c>
    </row>
    <row r="27" spans="6:11" x14ac:dyDescent="0.2">
      <c r="F27" t="str">
        <f t="shared" si="0"/>
        <v/>
      </c>
      <c r="H27" t="str">
        <f t="shared" si="1"/>
        <v/>
      </c>
    </row>
    <row r="28" spans="6:11" x14ac:dyDescent="0.2">
      <c r="F28" t="str">
        <f t="shared" si="0"/>
        <v/>
      </c>
      <c r="H28" t="str">
        <f t="shared" si="1"/>
        <v/>
      </c>
    </row>
    <row r="29" spans="6:11" x14ac:dyDescent="0.2">
      <c r="F29" t="str">
        <f t="shared" si="0"/>
        <v/>
      </c>
      <c r="H29" t="str">
        <f t="shared" si="1"/>
        <v/>
      </c>
    </row>
    <row r="30" spans="6:11" x14ac:dyDescent="0.2">
      <c r="F30" t="str">
        <f t="shared" si="0"/>
        <v/>
      </c>
      <c r="H30" t="str">
        <f t="shared" si="1"/>
        <v/>
      </c>
    </row>
    <row r="31" spans="6:11" x14ac:dyDescent="0.2">
      <c r="F31" t="str">
        <f t="shared" si="0"/>
        <v/>
      </c>
      <c r="H31" t="str">
        <f t="shared" si="1"/>
        <v/>
      </c>
    </row>
    <row r="32" spans="6:11" x14ac:dyDescent="0.2">
      <c r="F32" t="str">
        <f t="shared" si="0"/>
        <v/>
      </c>
      <c r="H32" t="str">
        <f t="shared" si="1"/>
        <v/>
      </c>
    </row>
    <row r="33" spans="6:8" x14ac:dyDescent="0.2">
      <c r="F33" t="str">
        <f t="shared" si="0"/>
        <v/>
      </c>
      <c r="H33" t="str">
        <f t="shared" si="1"/>
        <v/>
      </c>
    </row>
    <row r="34" spans="6:8" x14ac:dyDescent="0.2">
      <c r="F34" t="str">
        <f t="shared" ref="F34:F65" si="2">IFERROR(VLOOKUP(E34,$J$1:$K$23,2,0),"")</f>
        <v/>
      </c>
      <c r="H34" t="str">
        <f t="shared" ref="H34:H65" si="3">IFERROR(VLOOKUP(G34,$M$1:$N$23,2,0),"")</f>
        <v/>
      </c>
    </row>
    <row r="35" spans="6:8" x14ac:dyDescent="0.2">
      <c r="F35" t="str">
        <f t="shared" si="2"/>
        <v/>
      </c>
      <c r="H35" t="str">
        <f t="shared" si="3"/>
        <v/>
      </c>
    </row>
    <row r="36" spans="6:8" x14ac:dyDescent="0.2">
      <c r="F36" t="str">
        <f t="shared" si="2"/>
        <v/>
      </c>
      <c r="H36" t="str">
        <f t="shared" si="3"/>
        <v/>
      </c>
    </row>
    <row r="37" spans="6:8" x14ac:dyDescent="0.2">
      <c r="F37" t="str">
        <f t="shared" si="2"/>
        <v/>
      </c>
      <c r="H37" t="str">
        <f t="shared" si="3"/>
        <v/>
      </c>
    </row>
    <row r="38" spans="6:8" x14ac:dyDescent="0.2">
      <c r="F38" t="str">
        <f t="shared" si="2"/>
        <v/>
      </c>
      <c r="H38" t="str">
        <f t="shared" si="3"/>
        <v/>
      </c>
    </row>
    <row r="39" spans="6:8" x14ac:dyDescent="0.2">
      <c r="F39" t="str">
        <f t="shared" si="2"/>
        <v/>
      </c>
      <c r="H39" t="str">
        <f t="shared" si="3"/>
        <v/>
      </c>
    </row>
    <row r="40" spans="6:8" x14ac:dyDescent="0.2">
      <c r="F40" t="str">
        <f t="shared" si="2"/>
        <v/>
      </c>
      <c r="H40" t="str">
        <f t="shared" si="3"/>
        <v/>
      </c>
    </row>
    <row r="41" spans="6:8" x14ac:dyDescent="0.2">
      <c r="F41" t="str">
        <f t="shared" si="2"/>
        <v/>
      </c>
      <c r="H41" t="str">
        <f t="shared" si="3"/>
        <v/>
      </c>
    </row>
    <row r="42" spans="6:8" x14ac:dyDescent="0.2">
      <c r="F42" t="str">
        <f t="shared" si="2"/>
        <v/>
      </c>
      <c r="H42" t="str">
        <f t="shared" si="3"/>
        <v/>
      </c>
    </row>
    <row r="43" spans="6:8" x14ac:dyDescent="0.2">
      <c r="F43" t="str">
        <f t="shared" si="2"/>
        <v/>
      </c>
      <c r="H43" t="str">
        <f t="shared" si="3"/>
        <v/>
      </c>
    </row>
    <row r="44" spans="6:8" x14ac:dyDescent="0.2">
      <c r="F44" t="str">
        <f t="shared" si="2"/>
        <v/>
      </c>
      <c r="H44" t="str">
        <f t="shared" si="3"/>
        <v/>
      </c>
    </row>
    <row r="45" spans="6:8" x14ac:dyDescent="0.2">
      <c r="F45" t="str">
        <f t="shared" si="2"/>
        <v/>
      </c>
      <c r="H45" t="str">
        <f t="shared" si="3"/>
        <v/>
      </c>
    </row>
    <row r="46" spans="6:8" x14ac:dyDescent="0.2">
      <c r="F46" t="str">
        <f t="shared" si="2"/>
        <v/>
      </c>
      <c r="H46" t="str">
        <f t="shared" si="3"/>
        <v/>
      </c>
    </row>
    <row r="47" spans="6:8" x14ac:dyDescent="0.2">
      <c r="F47" t="str">
        <f t="shared" si="2"/>
        <v/>
      </c>
      <c r="H47" t="str">
        <f t="shared" si="3"/>
        <v/>
      </c>
    </row>
    <row r="48" spans="6:8" x14ac:dyDescent="0.2">
      <c r="F48" t="str">
        <f t="shared" si="2"/>
        <v/>
      </c>
      <c r="H48" t="str">
        <f t="shared" si="3"/>
        <v/>
      </c>
    </row>
    <row r="49" spans="6:8" x14ac:dyDescent="0.2">
      <c r="F49" t="str">
        <f t="shared" si="2"/>
        <v/>
      </c>
      <c r="H49" t="str">
        <f t="shared" si="3"/>
        <v/>
      </c>
    </row>
    <row r="50" spans="6:8" x14ac:dyDescent="0.2">
      <c r="F50" t="str">
        <f t="shared" si="2"/>
        <v/>
      </c>
      <c r="H50" t="str">
        <f t="shared" si="3"/>
        <v/>
      </c>
    </row>
    <row r="51" spans="6:8" x14ac:dyDescent="0.2">
      <c r="F51" t="str">
        <f t="shared" si="2"/>
        <v/>
      </c>
      <c r="H51" t="str">
        <f t="shared" si="3"/>
        <v/>
      </c>
    </row>
    <row r="52" spans="6:8" x14ac:dyDescent="0.2">
      <c r="F52" t="str">
        <f t="shared" si="2"/>
        <v/>
      </c>
      <c r="H52" t="str">
        <f t="shared" si="3"/>
        <v/>
      </c>
    </row>
    <row r="53" spans="6:8" x14ac:dyDescent="0.2">
      <c r="F53" t="str">
        <f t="shared" si="2"/>
        <v/>
      </c>
      <c r="H53" t="str">
        <f t="shared" si="3"/>
        <v/>
      </c>
    </row>
    <row r="54" spans="6:8" x14ac:dyDescent="0.2">
      <c r="F54" t="str">
        <f t="shared" si="2"/>
        <v/>
      </c>
      <c r="H54" t="str">
        <f t="shared" si="3"/>
        <v/>
      </c>
    </row>
    <row r="55" spans="6:8" x14ac:dyDescent="0.2">
      <c r="F55" t="str">
        <f t="shared" si="2"/>
        <v/>
      </c>
      <c r="H55" t="str">
        <f t="shared" si="3"/>
        <v/>
      </c>
    </row>
    <row r="56" spans="6:8" x14ac:dyDescent="0.2">
      <c r="F56" t="str">
        <f t="shared" si="2"/>
        <v/>
      </c>
      <c r="H56" t="str">
        <f t="shared" si="3"/>
        <v/>
      </c>
    </row>
    <row r="57" spans="6:8" x14ac:dyDescent="0.2">
      <c r="F57" t="str">
        <f t="shared" si="2"/>
        <v/>
      </c>
      <c r="H57" t="str">
        <f t="shared" si="3"/>
        <v/>
      </c>
    </row>
    <row r="58" spans="6:8" x14ac:dyDescent="0.2">
      <c r="F58" t="str">
        <f t="shared" si="2"/>
        <v/>
      </c>
      <c r="H58" t="str">
        <f t="shared" si="3"/>
        <v/>
      </c>
    </row>
    <row r="59" spans="6:8" x14ac:dyDescent="0.2">
      <c r="F59" t="str">
        <f t="shared" si="2"/>
        <v/>
      </c>
      <c r="H59" t="str">
        <f t="shared" si="3"/>
        <v/>
      </c>
    </row>
    <row r="60" spans="6:8" x14ac:dyDescent="0.2">
      <c r="F60" t="str">
        <f t="shared" si="2"/>
        <v/>
      </c>
      <c r="H60" t="str">
        <f t="shared" si="3"/>
        <v/>
      </c>
    </row>
    <row r="61" spans="6:8" x14ac:dyDescent="0.2">
      <c r="F61" t="str">
        <f t="shared" si="2"/>
        <v/>
      </c>
      <c r="H61" t="str">
        <f t="shared" si="3"/>
        <v/>
      </c>
    </row>
    <row r="62" spans="6:8" x14ac:dyDescent="0.2">
      <c r="F62" t="str">
        <f t="shared" si="2"/>
        <v/>
      </c>
      <c r="H62" t="str">
        <f t="shared" si="3"/>
        <v/>
      </c>
    </row>
    <row r="63" spans="6:8" x14ac:dyDescent="0.2">
      <c r="F63" t="str">
        <f t="shared" si="2"/>
        <v/>
      </c>
      <c r="H63" t="str">
        <f t="shared" si="3"/>
        <v/>
      </c>
    </row>
    <row r="64" spans="6:8" x14ac:dyDescent="0.2">
      <c r="F64" t="str">
        <f t="shared" si="2"/>
        <v/>
      </c>
      <c r="H64" t="str">
        <f t="shared" si="3"/>
        <v/>
      </c>
    </row>
    <row r="65" spans="6:8" x14ac:dyDescent="0.2">
      <c r="F65" t="str">
        <f t="shared" si="2"/>
        <v/>
      </c>
      <c r="H65" t="str">
        <f t="shared" si="3"/>
        <v/>
      </c>
    </row>
    <row r="66" spans="6:8" x14ac:dyDescent="0.2">
      <c r="F66" t="str">
        <f t="shared" ref="F66:F97" si="4">IFERROR(VLOOKUP(E66,$J$1:$K$23,2,0),"")</f>
        <v/>
      </c>
      <c r="H66" t="str">
        <f t="shared" ref="H66:H97" si="5">IFERROR(VLOOKUP(G66,$M$1:$N$23,2,0),"")</f>
        <v/>
      </c>
    </row>
    <row r="67" spans="6:8" x14ac:dyDescent="0.2">
      <c r="F67" t="str">
        <f t="shared" si="4"/>
        <v/>
      </c>
      <c r="H67" t="str">
        <f t="shared" si="5"/>
        <v/>
      </c>
    </row>
    <row r="68" spans="6:8" x14ac:dyDescent="0.2">
      <c r="F68" t="str">
        <f t="shared" si="4"/>
        <v/>
      </c>
      <c r="H68" t="str">
        <f t="shared" si="5"/>
        <v/>
      </c>
    </row>
    <row r="69" spans="6:8" x14ac:dyDescent="0.2">
      <c r="F69" t="str">
        <f t="shared" si="4"/>
        <v/>
      </c>
      <c r="H69" t="str">
        <f t="shared" si="5"/>
        <v/>
      </c>
    </row>
    <row r="70" spans="6:8" x14ac:dyDescent="0.2">
      <c r="F70" t="str">
        <f t="shared" si="4"/>
        <v/>
      </c>
      <c r="H70" t="str">
        <f t="shared" si="5"/>
        <v/>
      </c>
    </row>
    <row r="71" spans="6:8" x14ac:dyDescent="0.2">
      <c r="F71" t="str">
        <f t="shared" si="4"/>
        <v/>
      </c>
      <c r="H71" t="str">
        <f t="shared" si="5"/>
        <v/>
      </c>
    </row>
    <row r="72" spans="6:8" x14ac:dyDescent="0.2">
      <c r="F72" t="str">
        <f t="shared" si="4"/>
        <v/>
      </c>
      <c r="H72" t="str">
        <f t="shared" si="5"/>
        <v/>
      </c>
    </row>
    <row r="73" spans="6:8" x14ac:dyDescent="0.2">
      <c r="F73" t="str">
        <f t="shared" si="4"/>
        <v/>
      </c>
      <c r="H73" t="str">
        <f t="shared" si="5"/>
        <v/>
      </c>
    </row>
    <row r="74" spans="6:8" x14ac:dyDescent="0.2">
      <c r="F74" t="str">
        <f t="shared" si="4"/>
        <v/>
      </c>
      <c r="H74" t="str">
        <f t="shared" si="5"/>
        <v/>
      </c>
    </row>
    <row r="75" spans="6:8" x14ac:dyDescent="0.2">
      <c r="F75" t="str">
        <f t="shared" si="4"/>
        <v/>
      </c>
      <c r="H75" t="str">
        <f t="shared" si="5"/>
        <v/>
      </c>
    </row>
    <row r="76" spans="6:8" x14ac:dyDescent="0.2">
      <c r="F76" t="str">
        <f t="shared" si="4"/>
        <v/>
      </c>
      <c r="H76" t="str">
        <f t="shared" si="5"/>
        <v/>
      </c>
    </row>
    <row r="77" spans="6:8" x14ac:dyDescent="0.2">
      <c r="F77" t="str">
        <f t="shared" si="4"/>
        <v/>
      </c>
      <c r="H77" t="str">
        <f t="shared" si="5"/>
        <v/>
      </c>
    </row>
    <row r="78" spans="6:8" x14ac:dyDescent="0.2">
      <c r="F78" t="str">
        <f t="shared" si="4"/>
        <v/>
      </c>
      <c r="H78" t="str">
        <f t="shared" si="5"/>
        <v/>
      </c>
    </row>
    <row r="79" spans="6:8" x14ac:dyDescent="0.2">
      <c r="F79" t="str">
        <f t="shared" si="4"/>
        <v/>
      </c>
      <c r="H79" t="str">
        <f t="shared" si="5"/>
        <v/>
      </c>
    </row>
    <row r="80" spans="6:8" x14ac:dyDescent="0.2">
      <c r="F80" t="str">
        <f t="shared" si="4"/>
        <v/>
      </c>
      <c r="H80" t="str">
        <f t="shared" si="5"/>
        <v/>
      </c>
    </row>
    <row r="81" spans="6:8" x14ac:dyDescent="0.2">
      <c r="F81" t="str">
        <f t="shared" si="4"/>
        <v/>
      </c>
      <c r="H81" t="str">
        <f t="shared" si="5"/>
        <v/>
      </c>
    </row>
    <row r="82" spans="6:8" x14ac:dyDescent="0.2">
      <c r="F82" t="str">
        <f t="shared" si="4"/>
        <v/>
      </c>
      <c r="H82" t="str">
        <f t="shared" si="5"/>
        <v/>
      </c>
    </row>
    <row r="83" spans="6:8" x14ac:dyDescent="0.2">
      <c r="F83" t="str">
        <f t="shared" si="4"/>
        <v/>
      </c>
      <c r="H83" t="str">
        <f t="shared" si="5"/>
        <v/>
      </c>
    </row>
    <row r="84" spans="6:8" x14ac:dyDescent="0.2">
      <c r="F84" t="str">
        <f t="shared" si="4"/>
        <v/>
      </c>
      <c r="H84" t="str">
        <f t="shared" si="5"/>
        <v/>
      </c>
    </row>
    <row r="85" spans="6:8" x14ac:dyDescent="0.2">
      <c r="F85" t="str">
        <f t="shared" si="4"/>
        <v/>
      </c>
      <c r="H85" t="str">
        <f t="shared" si="5"/>
        <v/>
      </c>
    </row>
    <row r="86" spans="6:8" x14ac:dyDescent="0.2">
      <c r="F86" t="str">
        <f t="shared" si="4"/>
        <v/>
      </c>
      <c r="H86" t="str">
        <f t="shared" si="5"/>
        <v/>
      </c>
    </row>
    <row r="87" spans="6:8" x14ac:dyDescent="0.2">
      <c r="F87" t="str">
        <f t="shared" si="4"/>
        <v/>
      </c>
      <c r="H87" t="str">
        <f t="shared" si="5"/>
        <v/>
      </c>
    </row>
    <row r="88" spans="6:8" x14ac:dyDescent="0.2">
      <c r="F88" t="str">
        <f t="shared" si="4"/>
        <v/>
      </c>
      <c r="H88" t="str">
        <f t="shared" si="5"/>
        <v/>
      </c>
    </row>
    <row r="89" spans="6:8" x14ac:dyDescent="0.2">
      <c r="F89" t="str">
        <f t="shared" si="4"/>
        <v/>
      </c>
      <c r="H89" t="str">
        <f t="shared" si="5"/>
        <v/>
      </c>
    </row>
    <row r="90" spans="6:8" x14ac:dyDescent="0.2">
      <c r="F90" t="str">
        <f t="shared" si="4"/>
        <v/>
      </c>
      <c r="H90" t="str">
        <f t="shared" si="5"/>
        <v/>
      </c>
    </row>
    <row r="91" spans="6:8" x14ac:dyDescent="0.2">
      <c r="F91" t="str">
        <f t="shared" si="4"/>
        <v/>
      </c>
      <c r="H91" t="str">
        <f t="shared" si="5"/>
        <v/>
      </c>
    </row>
    <row r="92" spans="6:8" x14ac:dyDescent="0.2">
      <c r="F92" t="str">
        <f t="shared" si="4"/>
        <v/>
      </c>
      <c r="H92" t="str">
        <f t="shared" si="5"/>
        <v/>
      </c>
    </row>
    <row r="93" spans="6:8" x14ac:dyDescent="0.2">
      <c r="F93" t="str">
        <f t="shared" si="4"/>
        <v/>
      </c>
      <c r="H93" t="str">
        <f t="shared" si="5"/>
        <v/>
      </c>
    </row>
    <row r="94" spans="6:8" x14ac:dyDescent="0.2">
      <c r="F94" t="str">
        <f t="shared" si="4"/>
        <v/>
      </c>
      <c r="H94" t="str">
        <f t="shared" si="5"/>
        <v/>
      </c>
    </row>
    <row r="95" spans="6:8" x14ac:dyDescent="0.2">
      <c r="F95" t="str">
        <f t="shared" si="4"/>
        <v/>
      </c>
      <c r="H95" t="str">
        <f t="shared" si="5"/>
        <v/>
      </c>
    </row>
    <row r="96" spans="6:8" x14ac:dyDescent="0.2">
      <c r="F96" t="str">
        <f t="shared" si="4"/>
        <v/>
      </c>
      <c r="H96" t="str">
        <f t="shared" si="5"/>
        <v/>
      </c>
    </row>
    <row r="97" spans="6:8" x14ac:dyDescent="0.2">
      <c r="F97" t="str">
        <f t="shared" si="4"/>
        <v/>
      </c>
      <c r="H97" t="str">
        <f t="shared" si="5"/>
        <v/>
      </c>
    </row>
    <row r="98" spans="6:8" x14ac:dyDescent="0.2">
      <c r="F98" t="str">
        <f t="shared" ref="F98:F129" si="6">IFERROR(VLOOKUP(E98,$J$1:$K$23,2,0),"")</f>
        <v/>
      </c>
      <c r="H98" t="str">
        <f t="shared" ref="H98:H129" si="7">IFERROR(VLOOKUP(G98,$M$1:$N$23,2,0),"")</f>
        <v/>
      </c>
    </row>
    <row r="99" spans="6:8" x14ac:dyDescent="0.2">
      <c r="F99" t="str">
        <f t="shared" si="6"/>
        <v/>
      </c>
      <c r="H99" t="str">
        <f t="shared" si="7"/>
        <v/>
      </c>
    </row>
    <row r="100" spans="6:8" x14ac:dyDescent="0.2">
      <c r="F100" t="str">
        <f t="shared" si="6"/>
        <v/>
      </c>
      <c r="H100" t="str">
        <f t="shared" si="7"/>
        <v/>
      </c>
    </row>
    <row r="101" spans="6:8" x14ac:dyDescent="0.2">
      <c r="F101" t="str">
        <f t="shared" si="6"/>
        <v/>
      </c>
      <c r="H101" t="str">
        <f t="shared" si="7"/>
        <v/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</dc:title>
  <dc:subject>Office 2007 XLSX</dc:subject>
  <dc:creator>Nubatic ERP</dc:creator>
  <cp:keywords>office 2007 openxml php</cp:keywords>
  <dc:description>Informe creado por sistema Nubatic ERP.</dc:description>
  <cp:lastModifiedBy>BENJAMÍN BASTIÁN LARA URRA</cp:lastModifiedBy>
  <dcterms:created xsi:type="dcterms:W3CDTF">2026-09-03T18:28:04Z</dcterms:created>
  <dcterms:modified xsi:type="dcterms:W3CDTF">2026-09-03T18:29:17Z</dcterms:modified>
  <cp:category>Informe</cp:category>
</cp:coreProperties>
</file>